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_alves156.EDU_FIESC\Downloads\"/>
    </mc:Choice>
  </mc:AlternateContent>
  <xr:revisionPtr revIDLastSave="0" documentId="13_ncr:1_{86342437-4CF6-4CB0-B47C-4E4D7E9753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" i="2" l="1"/>
  <c r="N17" i="2"/>
  <c r="N18" i="2"/>
  <c r="N20" i="2"/>
  <c r="N22" i="2"/>
  <c r="N23" i="2"/>
  <c r="N24" i="2"/>
  <c r="N25" i="2"/>
  <c r="N15" i="2"/>
  <c r="N5" i="2"/>
  <c r="N6" i="2"/>
  <c r="N7" i="2"/>
  <c r="N8" i="2"/>
  <c r="N9" i="2"/>
  <c r="N10" i="2"/>
  <c r="N11" i="2"/>
  <c r="N12" i="2"/>
  <c r="N4" i="2"/>
  <c r="M16" i="2"/>
  <c r="M17" i="2"/>
  <c r="M18" i="2"/>
  <c r="M20" i="2"/>
  <c r="M22" i="2"/>
  <c r="M23" i="2"/>
  <c r="M24" i="2"/>
  <c r="M25" i="2"/>
  <c r="K15" i="2"/>
  <c r="M15" i="2"/>
  <c r="M5" i="2"/>
  <c r="M6" i="2"/>
  <c r="M7" i="2"/>
  <c r="M8" i="2"/>
  <c r="M9" i="2"/>
  <c r="M10" i="2"/>
  <c r="M11" i="2"/>
  <c r="M12" i="2"/>
  <c r="M4" i="2"/>
  <c r="K16" i="2"/>
  <c r="K17" i="2"/>
  <c r="K18" i="2"/>
  <c r="K20" i="2"/>
  <c r="K22" i="2"/>
  <c r="K23" i="2"/>
  <c r="K24" i="2"/>
  <c r="K25" i="2"/>
  <c r="K4" i="2"/>
  <c r="K5" i="2"/>
  <c r="K6" i="2"/>
  <c r="K7" i="2"/>
  <c r="K8" i="2"/>
  <c r="K9" i="2"/>
  <c r="K10" i="2"/>
  <c r="K11" i="2"/>
  <c r="K12" i="2"/>
  <c r="L15" i="2"/>
  <c r="L25" i="2"/>
  <c r="J25" i="2"/>
  <c r="L24" i="2"/>
  <c r="I24" i="2"/>
  <c r="L23" i="2"/>
  <c r="J23" i="2"/>
  <c r="L11" i="2"/>
  <c r="L9" i="2"/>
  <c r="L18" i="2"/>
  <c r="I18" i="2"/>
  <c r="L16" i="2"/>
  <c r="L4" i="2"/>
  <c r="L12" i="2"/>
  <c r="I12" i="2"/>
  <c r="I11" i="2"/>
  <c r="L10" i="2"/>
  <c r="J9" i="2"/>
  <c r="L8" i="2"/>
  <c r="L6" i="2"/>
  <c r="L5" i="2"/>
  <c r="J24" i="2"/>
  <c r="J22" i="2"/>
  <c r="J18" i="2"/>
  <c r="J17" i="2"/>
  <c r="J16" i="2"/>
  <c r="J15" i="2"/>
  <c r="J12" i="2"/>
  <c r="J8" i="2"/>
  <c r="J11" i="2"/>
  <c r="J10" i="2"/>
  <c r="J6" i="2"/>
  <c r="J5" i="2"/>
  <c r="J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4" i="2"/>
  <c r="C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D17" i="2"/>
  <c r="D14" i="2"/>
  <c r="D15" i="2" s="1"/>
  <c r="D13" i="2"/>
  <c r="D8" i="2"/>
  <c r="D11" i="2"/>
  <c r="D7" i="2"/>
  <c r="D6" i="2"/>
  <c r="D5" i="2"/>
  <c r="B17" i="2"/>
  <c r="B15" i="2"/>
  <c r="B14" i="2"/>
  <c r="B13" i="2"/>
  <c r="B12" i="2"/>
  <c r="B11" i="2"/>
  <c r="B8" i="2"/>
  <c r="B7" i="2"/>
  <c r="B6" i="2"/>
  <c r="B5" i="2"/>
  <c r="I8" i="2"/>
  <c r="I25" i="2" l="1"/>
</calcChain>
</file>

<file path=xl/sharedStrings.xml><?xml version="1.0" encoding="utf-8"?>
<sst xmlns="http://schemas.openxmlformats.org/spreadsheetml/2006/main" count="45" uniqueCount="41">
  <si>
    <t>Receita de Vendas</t>
  </si>
  <si>
    <t>( - ) CPV</t>
  </si>
  <si>
    <t>Lucro Bruto</t>
  </si>
  <si>
    <t>( - ) Depreciação</t>
  </si>
  <si>
    <t>Lucro Operacional</t>
  </si>
  <si>
    <t>( - ) Desp. Financeiras</t>
  </si>
  <si>
    <t>LAIR</t>
  </si>
  <si>
    <t>( - ) IR</t>
  </si>
  <si>
    <t>Lucro Após IR</t>
  </si>
  <si>
    <t>( - ) Dividendos Distrib.</t>
  </si>
  <si>
    <t>Lucro Líquido</t>
  </si>
  <si>
    <t>DRE</t>
  </si>
  <si>
    <t>Demonstrativo de Resultados do Exercício (DRE)</t>
  </si>
  <si>
    <t>Balanço Patrimonial (BP)</t>
  </si>
  <si>
    <t>ATIVO</t>
  </si>
  <si>
    <t>Caixa</t>
  </si>
  <si>
    <t>Bancos</t>
  </si>
  <si>
    <t>Contas a Receber</t>
  </si>
  <si>
    <t>Estoque</t>
  </si>
  <si>
    <t>Total AC</t>
  </si>
  <si>
    <t>Ativo Permanente</t>
  </si>
  <si>
    <t>( - ) Deprec. Acum.</t>
  </si>
  <si>
    <t>Ativo Perm. Líquido</t>
  </si>
  <si>
    <t>TOTAL ATIVO</t>
  </si>
  <si>
    <t>PASSIVO</t>
  </si>
  <si>
    <t>Contas a Pagar</t>
  </si>
  <si>
    <t>Financ. Curto Prazo</t>
  </si>
  <si>
    <t>Total PC</t>
  </si>
  <si>
    <t>Financiamentos</t>
  </si>
  <si>
    <t>Exigível Longo Prazo (ELP)</t>
  </si>
  <si>
    <t>Patrimônio Líquido (PL)</t>
  </si>
  <si>
    <t>Capital Social</t>
  </si>
  <si>
    <t>Lucros Acumulados</t>
  </si>
  <si>
    <t>Total PL</t>
  </si>
  <si>
    <t>( - ) Desp. Administrativas</t>
  </si>
  <si>
    <t>( - ) Desp. com Vendas</t>
  </si>
  <si>
    <t>( - ) Outras Desp. Operac.</t>
  </si>
  <si>
    <t>AV</t>
  </si>
  <si>
    <t>Títulos a Pagar</t>
  </si>
  <si>
    <t>AH</t>
  </si>
  <si>
    <t>TOTAL PASSIVO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</si>
</sst>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/>
    </xf>
    <xf numFmtId="164" fontId="0" fillId="0" borderId="1" xfId="2" applyFont="1" applyBorder="1"/>
    <xf numFmtId="10" fontId="4" fillId="0" borderId="1" xfId="1" applyNumberFormat="1" applyFont="1" applyBorder="1"/>
    <xf numFmtId="164" fontId="0" fillId="0" borderId="1" xfId="0" applyNumberFormat="1" applyBorder="1"/>
    <xf numFmtId="10" fontId="0" fillId="0" borderId="1" xfId="1" applyNumberFormat="1" applyFont="1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quotePrefix="1" applyBorder="1" applyAlignment="1">
      <alignment horizontal="left"/>
    </xf>
    <xf numFmtId="164" fontId="4" fillId="0" borderId="1" xfId="2" applyFont="1" applyBorder="1"/>
    <xf numFmtId="0" fontId="3" fillId="0" borderId="5" xfId="0" quotePrefix="1" applyFont="1" applyBorder="1" applyAlignment="1">
      <alignment horizontal="left"/>
    </xf>
    <xf numFmtId="0" fontId="4" fillId="0" borderId="5" xfId="0" applyFont="1" applyBorder="1"/>
    <xf numFmtId="0" fontId="0" fillId="0" borderId="5" xfId="0" applyBorder="1" applyAlignment="1">
      <alignment horizontal="left"/>
    </xf>
    <xf numFmtId="0" fontId="5" fillId="0" borderId="5" xfId="0" quotePrefix="1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5" fillId="0" borderId="5" xfId="0" applyFont="1" applyBorder="1"/>
    <xf numFmtId="0" fontId="0" fillId="0" borderId="13" xfId="0" quotePrefix="1" applyBorder="1" applyAlignment="1">
      <alignment horizontal="left"/>
    </xf>
    <xf numFmtId="0" fontId="0" fillId="0" borderId="13" xfId="0" applyBorder="1"/>
    <xf numFmtId="0" fontId="5" fillId="0" borderId="13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0" fontId="1" fillId="0" borderId="1" xfId="1" applyNumberFormat="1" applyFont="1" applyBorder="1"/>
    <xf numFmtId="10" fontId="1" fillId="0" borderId="6" xfId="1" applyNumberFormat="1" applyFont="1" applyBorder="1"/>
    <xf numFmtId="10" fontId="0" fillId="0" borderId="6" xfId="1" applyNumberFormat="1" applyFont="1" applyBorder="1"/>
    <xf numFmtId="164" fontId="4" fillId="0" borderId="1" xfId="0" applyNumberFormat="1" applyFont="1" applyBorder="1"/>
    <xf numFmtId="164" fontId="1" fillId="0" borderId="1" xfId="0" applyNumberFormat="1" applyFont="1" applyBorder="1"/>
    <xf numFmtId="10" fontId="4" fillId="0" borderId="6" xfId="1" applyNumberFormat="1" applyFont="1" applyBorder="1"/>
    <xf numFmtId="0" fontId="6" fillId="0" borderId="5" xfId="0" applyFont="1" applyBorder="1"/>
    <xf numFmtId="4" fontId="4" fillId="0" borderId="0" xfId="0" applyNumberFormat="1" applyFont="1"/>
    <xf numFmtId="0" fontId="3" fillId="2" borderId="2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3" borderId="11" xfId="0" quotePrefix="1" applyFont="1" applyFill="1" applyBorder="1" applyAlignment="1">
      <alignment horizontal="center"/>
    </xf>
    <xf numFmtId="0" fontId="3" fillId="3" borderId="12" xfId="0" quotePrefix="1" applyFont="1" applyFill="1" applyBorder="1" applyAlignment="1">
      <alignment horizontal="center"/>
    </xf>
    <xf numFmtId="0" fontId="3" fillId="3" borderId="10" xfId="0" quotePrefix="1" applyFont="1" applyFill="1" applyBorder="1" applyAlignment="1">
      <alignment horizontal="center"/>
    </xf>
    <xf numFmtId="0" fontId="4" fillId="4" borderId="14" xfId="0" applyFont="1" applyFill="1" applyBorder="1"/>
    <xf numFmtId="164" fontId="4" fillId="4" borderId="8" xfId="0" applyNumberFormat="1" applyFont="1" applyFill="1" applyBorder="1"/>
    <xf numFmtId="10" fontId="4" fillId="4" borderId="1" xfId="1" applyNumberFormat="1" applyFont="1" applyFill="1" applyBorder="1"/>
    <xf numFmtId="10" fontId="4" fillId="4" borderId="6" xfId="1" applyNumberFormat="1" applyFont="1" applyFill="1" applyBorder="1"/>
    <xf numFmtId="0" fontId="4" fillId="3" borderId="7" xfId="0" applyFont="1" applyFill="1" applyBorder="1"/>
    <xf numFmtId="164" fontId="4" fillId="3" borderId="8" xfId="0" applyNumberFormat="1" applyFont="1" applyFill="1" applyBorder="1"/>
    <xf numFmtId="10" fontId="4" fillId="3" borderId="1" xfId="1" applyNumberFormat="1" applyFont="1" applyFill="1" applyBorder="1"/>
    <xf numFmtId="10" fontId="4" fillId="3" borderId="6" xfId="1" applyNumberFormat="1" applyFont="1" applyFill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1" zoomScaleNormal="100" workbookViewId="0">
      <selection activeCell="O24" sqref="O24"/>
    </sheetView>
  </sheetViews>
  <sheetFormatPr defaultRowHeight="12.75" x14ac:dyDescent="0.2"/>
  <cols>
    <col min="1" max="1" width="23" bestFit="1" customWidth="1"/>
    <col min="2" max="2" width="15.28515625" customWidth="1"/>
    <col min="3" max="3" width="9.140625" customWidth="1"/>
    <col min="4" max="4" width="15.140625" customWidth="1"/>
    <col min="5" max="6" width="9.140625" customWidth="1"/>
    <col min="7" max="7" width="8.28515625" customWidth="1"/>
    <col min="8" max="8" width="23.5703125" customWidth="1"/>
    <col min="9" max="9" width="12.85546875" bestFit="1" customWidth="1"/>
    <col min="10" max="10" width="13.7109375" customWidth="1"/>
    <col min="12" max="12" width="12.85546875" bestFit="1" customWidth="1"/>
  </cols>
  <sheetData>
    <row r="1" spans="1:14" ht="20.100000000000001" customHeight="1" x14ac:dyDescent="0.25">
      <c r="A1" s="32" t="s">
        <v>12</v>
      </c>
      <c r="B1" s="33"/>
      <c r="C1" s="33"/>
      <c r="D1" s="33"/>
      <c r="E1" s="33"/>
      <c r="F1" s="34"/>
      <c r="H1" s="35" t="s">
        <v>13</v>
      </c>
      <c r="I1" s="36"/>
      <c r="J1" s="36"/>
      <c r="K1" s="36"/>
      <c r="L1" s="36"/>
      <c r="M1" s="36"/>
      <c r="N1" s="37"/>
    </row>
    <row r="2" spans="1:14" ht="18" customHeight="1" x14ac:dyDescent="0.25">
      <c r="A2" s="7"/>
      <c r="B2" s="1"/>
      <c r="C2" s="1"/>
      <c r="D2" s="1"/>
      <c r="E2" s="1"/>
      <c r="F2" s="8"/>
      <c r="H2" s="13"/>
      <c r="I2" s="1"/>
      <c r="J2" s="1"/>
      <c r="K2" s="1"/>
      <c r="L2" s="1"/>
      <c r="M2" s="1"/>
      <c r="N2" s="8"/>
    </row>
    <row r="3" spans="1:14" ht="18" customHeight="1" x14ac:dyDescent="0.2">
      <c r="A3" s="9" t="s">
        <v>11</v>
      </c>
      <c r="B3" s="22">
        <v>2019</v>
      </c>
      <c r="C3" s="22" t="s">
        <v>37</v>
      </c>
      <c r="D3" s="22">
        <v>2020</v>
      </c>
      <c r="E3" s="22" t="s">
        <v>37</v>
      </c>
      <c r="F3" s="23" t="s">
        <v>39</v>
      </c>
      <c r="H3" s="14" t="s">
        <v>14</v>
      </c>
      <c r="I3" s="2">
        <v>2018</v>
      </c>
      <c r="J3" s="2">
        <v>2019</v>
      </c>
      <c r="K3" s="2" t="s">
        <v>37</v>
      </c>
      <c r="L3" s="2">
        <v>2020</v>
      </c>
      <c r="M3" s="2" t="s">
        <v>37</v>
      </c>
      <c r="N3" s="17" t="s">
        <v>39</v>
      </c>
    </row>
    <row r="4" spans="1:14" ht="18" customHeight="1" x14ac:dyDescent="0.2">
      <c r="A4" s="19" t="s">
        <v>0</v>
      </c>
      <c r="B4" s="3">
        <v>5500000</v>
      </c>
      <c r="C4" s="4">
        <f>B4/B4</f>
        <v>1</v>
      </c>
      <c r="D4" s="3">
        <v>7200000</v>
      </c>
      <c r="E4" s="4">
        <f>D4/$D$4</f>
        <v>1</v>
      </c>
      <c r="F4" s="25">
        <f>D4/B4-1</f>
        <v>0.30909090909090908</v>
      </c>
      <c r="H4" s="7" t="s">
        <v>15</v>
      </c>
      <c r="I4" s="3">
        <v>85000</v>
      </c>
      <c r="J4" s="3">
        <f>I4*1.175</f>
        <v>99875</v>
      </c>
      <c r="K4" s="6">
        <f>J4/$J$12</f>
        <v>7.2645081046089161E-2</v>
      </c>
      <c r="L4" s="5">
        <f>J4*1.21</f>
        <v>120848.75</v>
      </c>
      <c r="M4" s="6">
        <f>L4/$L$12</f>
        <v>7.7966935483870972E-2</v>
      </c>
      <c r="N4" s="26">
        <f>L4/J4-1</f>
        <v>0.20999999999999996</v>
      </c>
    </row>
    <row r="5" spans="1:14" ht="18" customHeight="1" x14ac:dyDescent="0.2">
      <c r="A5" s="20" t="s">
        <v>1</v>
      </c>
      <c r="B5" s="28">
        <f>B4*0.7</f>
        <v>3849999.9999999995</v>
      </c>
      <c r="C5" s="24">
        <f>B5/$B$4</f>
        <v>0.7</v>
      </c>
      <c r="D5" s="5">
        <f>D4*0.675</f>
        <v>4860000</v>
      </c>
      <c r="E5" s="24">
        <f t="shared" ref="E5:E17" si="0">D5/$D$4</f>
        <v>0.67500000000000004</v>
      </c>
      <c r="F5" s="25">
        <f t="shared" ref="F5:F17" si="1">D5/B5-1</f>
        <v>0.26233766233766254</v>
      </c>
      <c r="H5" s="7" t="s">
        <v>16</v>
      </c>
      <c r="I5" s="3">
        <v>127000</v>
      </c>
      <c r="J5" s="3">
        <f>I5*0.98</f>
        <v>124460</v>
      </c>
      <c r="K5" s="6">
        <f t="shared" ref="K5:K12" si="2">J5/$J$12</f>
        <v>9.0527226903592065E-2</v>
      </c>
      <c r="L5" s="5">
        <f>J5*1.15</f>
        <v>143129</v>
      </c>
      <c r="M5" s="6">
        <f t="shared" ref="M5:M12" si="3">L5/$L$12</f>
        <v>9.2341290322580649E-2</v>
      </c>
      <c r="N5" s="26">
        <f t="shared" ref="N5:N12" si="4">L5/J5-1</f>
        <v>0.14999999999999991</v>
      </c>
    </row>
    <row r="6" spans="1:14" ht="18" customHeight="1" x14ac:dyDescent="0.2">
      <c r="A6" s="21" t="s">
        <v>2</v>
      </c>
      <c r="B6" s="27">
        <f>B4-B5</f>
        <v>1650000.0000000005</v>
      </c>
      <c r="C6" s="24">
        <f t="shared" ref="C6:C16" si="5">B6/$B$4</f>
        <v>0.3000000000000001</v>
      </c>
      <c r="D6" s="27">
        <f>D4-D5</f>
        <v>2340000</v>
      </c>
      <c r="E6" s="24">
        <f t="shared" si="0"/>
        <v>0.32500000000000001</v>
      </c>
      <c r="F6" s="25">
        <f t="shared" si="1"/>
        <v>0.41818181818181777</v>
      </c>
      <c r="H6" s="7" t="s">
        <v>17</v>
      </c>
      <c r="I6" s="3">
        <v>93000</v>
      </c>
      <c r="J6" s="3">
        <f>B4*0.038</f>
        <v>209000</v>
      </c>
      <c r="K6" s="6">
        <f t="shared" si="2"/>
        <v>0.15201824218906268</v>
      </c>
      <c r="L6" s="5">
        <f>J6*1.12</f>
        <v>234080.00000000003</v>
      </c>
      <c r="M6" s="6">
        <f t="shared" si="3"/>
        <v>0.15101935483870971</v>
      </c>
      <c r="N6" s="26">
        <f t="shared" si="4"/>
        <v>0.12000000000000011</v>
      </c>
    </row>
    <row r="7" spans="1:14" ht="18" customHeight="1" x14ac:dyDescent="0.2">
      <c r="A7" s="19" t="s">
        <v>35</v>
      </c>
      <c r="B7" s="28">
        <f>B4*0.143</f>
        <v>786499.99999999988</v>
      </c>
      <c r="C7" s="24">
        <f t="shared" si="5"/>
        <v>0.14299999999999999</v>
      </c>
      <c r="D7" s="5">
        <f>D4*0.145</f>
        <v>1043999.9999999999</v>
      </c>
      <c r="E7" s="24">
        <f t="shared" si="0"/>
        <v>0.14499999999999999</v>
      </c>
      <c r="F7" s="25">
        <f t="shared" si="1"/>
        <v>0.32739987285441829</v>
      </c>
      <c r="H7" s="7" t="s">
        <v>18</v>
      </c>
      <c r="I7" s="3">
        <v>120000</v>
      </c>
      <c r="J7" s="3">
        <v>185500</v>
      </c>
      <c r="K7" s="6">
        <f t="shared" si="2"/>
        <v>0.13492528194292405</v>
      </c>
      <c r="L7" s="5">
        <v>277942.25</v>
      </c>
      <c r="M7" s="6">
        <f t="shared" si="3"/>
        <v>0.17931758064516129</v>
      </c>
      <c r="N7" s="26">
        <f t="shared" si="4"/>
        <v>0.49834097035040426</v>
      </c>
    </row>
    <row r="8" spans="1:14" ht="18" customHeight="1" x14ac:dyDescent="0.2">
      <c r="A8" s="19" t="s">
        <v>34</v>
      </c>
      <c r="B8" s="5">
        <f>B4*0.041</f>
        <v>225500</v>
      </c>
      <c r="C8" s="24">
        <f t="shared" si="5"/>
        <v>4.1000000000000002E-2</v>
      </c>
      <c r="D8" s="5">
        <f>D4*0.038</f>
        <v>273600</v>
      </c>
      <c r="E8" s="24">
        <f t="shared" si="0"/>
        <v>3.7999999999999999E-2</v>
      </c>
      <c r="F8" s="25">
        <f t="shared" si="1"/>
        <v>0.21330376940133045</v>
      </c>
      <c r="H8" s="30" t="s">
        <v>19</v>
      </c>
      <c r="I8" s="12">
        <f>SUM(I4:I7)</f>
        <v>425000</v>
      </c>
      <c r="J8" s="12">
        <f>SUM(J4:J7)</f>
        <v>618835</v>
      </c>
      <c r="K8" s="6">
        <f t="shared" si="2"/>
        <v>0.450115832081668</v>
      </c>
      <c r="L8" s="12">
        <f>SUM(L4:L7)</f>
        <v>776000</v>
      </c>
      <c r="M8" s="6">
        <f t="shared" si="3"/>
        <v>0.50064516129032255</v>
      </c>
      <c r="N8" s="26">
        <f t="shared" si="4"/>
        <v>0.25396915171249201</v>
      </c>
    </row>
    <row r="9" spans="1:14" ht="18" customHeight="1" x14ac:dyDescent="0.2">
      <c r="A9" s="19" t="s">
        <v>36</v>
      </c>
      <c r="B9" s="5">
        <v>67500</v>
      </c>
      <c r="C9" s="24">
        <f t="shared" si="5"/>
        <v>1.2272727272727272E-2</v>
      </c>
      <c r="D9" s="5">
        <v>82000</v>
      </c>
      <c r="E9" s="24">
        <f t="shared" si="0"/>
        <v>1.1388888888888889E-2</v>
      </c>
      <c r="F9" s="25">
        <f t="shared" si="1"/>
        <v>0.21481481481481479</v>
      </c>
      <c r="H9" s="7" t="s">
        <v>20</v>
      </c>
      <c r="I9" s="3">
        <v>850000</v>
      </c>
      <c r="J9" s="3">
        <f>I9+33000</f>
        <v>883000</v>
      </c>
      <c r="K9" s="6">
        <f t="shared" si="2"/>
        <v>0.64225888924852803</v>
      </c>
      <c r="L9" s="5">
        <f>J9+53000</f>
        <v>936000</v>
      </c>
      <c r="M9" s="6">
        <f t="shared" si="3"/>
        <v>0.60387096774193549</v>
      </c>
      <c r="N9" s="26">
        <f t="shared" si="4"/>
        <v>6.0022650056625215E-2</v>
      </c>
    </row>
    <row r="10" spans="1:14" ht="18" customHeight="1" x14ac:dyDescent="0.2">
      <c r="A10" s="20" t="s">
        <v>3</v>
      </c>
      <c r="B10" s="5">
        <v>27000</v>
      </c>
      <c r="C10" s="24">
        <f t="shared" si="5"/>
        <v>4.909090909090909E-3</v>
      </c>
      <c r="D10" s="5">
        <v>35000</v>
      </c>
      <c r="E10" s="24">
        <f t="shared" si="0"/>
        <v>4.8611111111111112E-3</v>
      </c>
      <c r="F10" s="25">
        <f t="shared" si="1"/>
        <v>0.29629629629629628</v>
      </c>
      <c r="H10" s="7" t="s">
        <v>21</v>
      </c>
      <c r="I10" s="3">
        <v>100000</v>
      </c>
      <c r="J10" s="3">
        <f>I10+27000</f>
        <v>127000</v>
      </c>
      <c r="K10" s="6">
        <f t="shared" si="2"/>
        <v>9.2374721330195989E-2</v>
      </c>
      <c r="L10" s="5">
        <f>J10+35000</f>
        <v>162000</v>
      </c>
      <c r="M10" s="6">
        <f t="shared" si="3"/>
        <v>0.10451612903225807</v>
      </c>
      <c r="N10" s="26">
        <f t="shared" si="4"/>
        <v>0.27559055118110232</v>
      </c>
    </row>
    <row r="11" spans="1:14" ht="18" customHeight="1" x14ac:dyDescent="0.2">
      <c r="A11" s="21" t="s">
        <v>4</v>
      </c>
      <c r="B11" s="27">
        <f>B6-B7-B8-B9-B10</f>
        <v>543500.00000000058</v>
      </c>
      <c r="C11" s="24">
        <f t="shared" si="5"/>
        <v>9.881818181818193E-2</v>
      </c>
      <c r="D11" s="27">
        <f>D6-D7-D8-D9-D10</f>
        <v>905400</v>
      </c>
      <c r="E11" s="24">
        <f t="shared" si="0"/>
        <v>0.12575</v>
      </c>
      <c r="F11" s="25">
        <f t="shared" si="1"/>
        <v>0.66586936522538931</v>
      </c>
      <c r="H11" s="16" t="s">
        <v>22</v>
      </c>
      <c r="I11" s="3">
        <f>I9-I10</f>
        <v>750000</v>
      </c>
      <c r="J11" s="3">
        <f>J9-J10</f>
        <v>756000</v>
      </c>
      <c r="K11" s="6">
        <f t="shared" si="2"/>
        <v>0.54988416791833206</v>
      </c>
      <c r="L11" s="3">
        <f>L9-L10</f>
        <v>774000</v>
      </c>
      <c r="M11" s="6">
        <f t="shared" si="3"/>
        <v>0.4993548387096774</v>
      </c>
      <c r="N11" s="26">
        <f t="shared" si="4"/>
        <v>2.3809523809523725E-2</v>
      </c>
    </row>
    <row r="12" spans="1:14" ht="18" customHeight="1" x14ac:dyDescent="0.2">
      <c r="A12" s="20" t="s">
        <v>5</v>
      </c>
      <c r="B12" s="5">
        <f>I17*0.07+I20*0.055</f>
        <v>21235</v>
      </c>
      <c r="C12" s="24">
        <f t="shared" si="5"/>
        <v>3.8609090909090911E-3</v>
      </c>
      <c r="D12" s="5">
        <v>45000</v>
      </c>
      <c r="E12" s="24">
        <f t="shared" si="0"/>
        <v>6.2500000000000003E-3</v>
      </c>
      <c r="F12" s="25">
        <f t="shared" si="1"/>
        <v>1.1191429244172357</v>
      </c>
      <c r="H12" s="14" t="s">
        <v>23</v>
      </c>
      <c r="I12" s="12">
        <f>I8+I11</f>
        <v>1175000</v>
      </c>
      <c r="J12" s="12">
        <f>J8+J11</f>
        <v>1374835</v>
      </c>
      <c r="K12" s="4">
        <f t="shared" si="2"/>
        <v>1</v>
      </c>
      <c r="L12" s="12">
        <f>L8+L11</f>
        <v>1550000</v>
      </c>
      <c r="M12" s="4">
        <f t="shared" si="3"/>
        <v>1</v>
      </c>
      <c r="N12" s="29">
        <f t="shared" si="4"/>
        <v>0.12740801623467535</v>
      </c>
    </row>
    <row r="13" spans="1:14" ht="18" customHeight="1" x14ac:dyDescent="0.2">
      <c r="A13" s="21" t="s">
        <v>6</v>
      </c>
      <c r="B13" s="5">
        <f>B11-B12</f>
        <v>522265.00000000058</v>
      </c>
      <c r="C13" s="24">
        <f t="shared" si="5"/>
        <v>9.4957272727272835E-2</v>
      </c>
      <c r="D13" s="5">
        <f>D11-D12</f>
        <v>860400</v>
      </c>
      <c r="E13" s="24">
        <f t="shared" si="0"/>
        <v>0.1195</v>
      </c>
      <c r="F13" s="25">
        <f t="shared" si="1"/>
        <v>0.64743951825222634</v>
      </c>
      <c r="H13" s="7"/>
      <c r="I13" s="3"/>
      <c r="J13" s="3"/>
      <c r="K13" s="1"/>
      <c r="L13" s="1"/>
      <c r="M13" s="1"/>
      <c r="N13" s="26"/>
    </row>
    <row r="14" spans="1:14" ht="18" customHeight="1" x14ac:dyDescent="0.2">
      <c r="A14" s="20" t="s">
        <v>7</v>
      </c>
      <c r="B14" s="5">
        <f>B13*0.32</f>
        <v>167124.80000000019</v>
      </c>
      <c r="C14" s="24">
        <f t="shared" si="5"/>
        <v>3.0386327272727307E-2</v>
      </c>
      <c r="D14" s="5">
        <f>D13*0.33</f>
        <v>283932</v>
      </c>
      <c r="E14" s="24">
        <f t="shared" si="0"/>
        <v>3.9434999999999998E-2</v>
      </c>
      <c r="F14" s="25">
        <f t="shared" si="1"/>
        <v>0.69892200319760844</v>
      </c>
      <c r="H14" s="14" t="s">
        <v>24</v>
      </c>
      <c r="I14" s="2"/>
      <c r="J14" s="2"/>
      <c r="K14" s="2"/>
      <c r="L14" s="2"/>
      <c r="M14" s="2"/>
      <c r="N14" s="10"/>
    </row>
    <row r="15" spans="1:14" ht="18" customHeight="1" x14ac:dyDescent="0.2">
      <c r="A15" s="21" t="s">
        <v>8</v>
      </c>
      <c r="B15" s="28">
        <f>+B13-B14</f>
        <v>355140.20000000042</v>
      </c>
      <c r="C15" s="24">
        <f t="shared" si="5"/>
        <v>6.4570945454545531E-2</v>
      </c>
      <c r="D15" s="5">
        <f>D13-D14</f>
        <v>576468</v>
      </c>
      <c r="E15" s="24">
        <f t="shared" si="0"/>
        <v>8.0064999999999997E-2</v>
      </c>
      <c r="F15" s="25">
        <f t="shared" si="1"/>
        <v>0.62321246651322304</v>
      </c>
      <c r="H15" s="7" t="s">
        <v>25</v>
      </c>
      <c r="I15" s="3">
        <v>88000</v>
      </c>
      <c r="J15" s="3">
        <f>B4*0.035</f>
        <v>192500.00000000003</v>
      </c>
      <c r="K15" s="6">
        <f>J15/$J$25</f>
        <v>0.14001680201624192</v>
      </c>
      <c r="L15" s="5">
        <f>J15*0.825</f>
        <v>158812.50000000003</v>
      </c>
      <c r="M15" s="6">
        <f>L15/$L$25</f>
        <v>0.10245967741935483</v>
      </c>
      <c r="N15" s="26">
        <f>L15/J15-1</f>
        <v>-0.17499999999999993</v>
      </c>
    </row>
    <row r="16" spans="1:14" ht="18" customHeight="1" x14ac:dyDescent="0.2">
      <c r="A16" s="20" t="s">
        <v>9</v>
      </c>
      <c r="B16" s="5">
        <v>250000.2</v>
      </c>
      <c r="C16" s="24">
        <f t="shared" si="5"/>
        <v>4.5454581818181822E-2</v>
      </c>
      <c r="D16" s="5">
        <v>326468</v>
      </c>
      <c r="E16" s="24">
        <f t="shared" si="0"/>
        <v>4.534277777777778E-2</v>
      </c>
      <c r="F16" s="25">
        <f t="shared" si="1"/>
        <v>0.30587095530323571</v>
      </c>
      <c r="H16" s="11" t="s">
        <v>38</v>
      </c>
      <c r="I16" s="3">
        <v>75000</v>
      </c>
      <c r="J16" s="3">
        <f>I16*1.065</f>
        <v>79875</v>
      </c>
      <c r="K16" s="6">
        <f>J16/$J$25</f>
        <v>5.8097880836609467E-2</v>
      </c>
      <c r="L16" s="5">
        <f>J16*1.11</f>
        <v>88661.250000000015</v>
      </c>
      <c r="M16" s="6">
        <f t="shared" ref="M16:M25" si="6">L16/$L$25</f>
        <v>5.7200806451612893E-2</v>
      </c>
      <c r="N16" s="26">
        <f t="shared" ref="N16:N25" si="7">L16/J16-1</f>
        <v>0.1100000000000001</v>
      </c>
    </row>
    <row r="17" spans="1:14" ht="18" customHeight="1" thickBot="1" x14ac:dyDescent="0.25">
      <c r="A17" s="38" t="s">
        <v>10</v>
      </c>
      <c r="B17" s="39">
        <f>B15-B16</f>
        <v>105140.00000000041</v>
      </c>
      <c r="C17" s="40">
        <f>B17/$B$4</f>
        <v>1.9116363636363709E-2</v>
      </c>
      <c r="D17" s="39">
        <f>D15-D16</f>
        <v>250000</v>
      </c>
      <c r="E17" s="40">
        <f t="shared" si="0"/>
        <v>3.4722222222222224E-2</v>
      </c>
      <c r="F17" s="41">
        <f t="shared" si="1"/>
        <v>1.3777820049457774</v>
      </c>
      <c r="H17" s="7" t="s">
        <v>26</v>
      </c>
      <c r="I17" s="3">
        <v>103000</v>
      </c>
      <c r="J17" s="3">
        <f>I17*0.97</f>
        <v>99910</v>
      </c>
      <c r="K17" s="6">
        <f t="shared" ref="K16:K25" si="8">J17/$J$25</f>
        <v>7.2670538646455729E-2</v>
      </c>
      <c r="L17" s="5">
        <v>35000</v>
      </c>
      <c r="M17" s="6">
        <f t="shared" si="6"/>
        <v>2.2580645161290314E-2</v>
      </c>
      <c r="N17" s="26">
        <f t="shared" si="7"/>
        <v>-0.64968471624462021</v>
      </c>
    </row>
    <row r="18" spans="1:14" ht="18" customHeight="1" x14ac:dyDescent="0.2">
      <c r="H18" s="18" t="s">
        <v>27</v>
      </c>
      <c r="I18" s="12">
        <f>SUM(I15:I17)</f>
        <v>266000</v>
      </c>
      <c r="J18" s="12">
        <f>SUM(J15:J17)</f>
        <v>372285</v>
      </c>
      <c r="K18" s="6">
        <f t="shared" si="8"/>
        <v>0.27078522149930712</v>
      </c>
      <c r="L18" s="27">
        <f>SUM(L15:L17)</f>
        <v>282473.75000000006</v>
      </c>
      <c r="M18" s="6">
        <f t="shared" si="6"/>
        <v>0.18224112903225806</v>
      </c>
      <c r="N18" s="26">
        <f t="shared" si="7"/>
        <v>-0.24124326792645401</v>
      </c>
    </row>
    <row r="19" spans="1:14" ht="18" customHeight="1" x14ac:dyDescent="0.2">
      <c r="H19" s="16" t="s">
        <v>29</v>
      </c>
      <c r="I19" s="3"/>
      <c r="J19" s="3"/>
      <c r="K19" s="6"/>
      <c r="L19" s="5"/>
      <c r="M19" s="6"/>
      <c r="N19" s="26"/>
    </row>
    <row r="20" spans="1:14" ht="18" customHeight="1" x14ac:dyDescent="0.2">
      <c r="H20" s="7" t="s">
        <v>28</v>
      </c>
      <c r="I20" s="12">
        <v>255000</v>
      </c>
      <c r="J20" s="12">
        <v>243410</v>
      </c>
      <c r="K20" s="6">
        <f t="shared" si="8"/>
        <v>0.17704670014947244</v>
      </c>
      <c r="L20" s="31">
        <v>317386.25</v>
      </c>
      <c r="M20" s="6">
        <f t="shared" si="6"/>
        <v>0.20476532258064509</v>
      </c>
      <c r="N20" s="26">
        <f t="shared" si="7"/>
        <v>0.30391623187214978</v>
      </c>
    </row>
    <row r="21" spans="1:14" ht="18" customHeight="1" x14ac:dyDescent="0.2">
      <c r="H21" s="16" t="s">
        <v>30</v>
      </c>
      <c r="I21" s="3"/>
      <c r="J21" s="3"/>
      <c r="K21" s="6"/>
      <c r="L21" s="5"/>
      <c r="M21" s="6"/>
      <c r="N21" s="26"/>
    </row>
    <row r="22" spans="1:14" ht="18" customHeight="1" x14ac:dyDescent="0.2">
      <c r="H22" s="7" t="s">
        <v>31</v>
      </c>
      <c r="I22" s="3">
        <v>559000</v>
      </c>
      <c r="J22" s="3">
        <f>I22</f>
        <v>559000</v>
      </c>
      <c r="K22" s="6">
        <f t="shared" si="8"/>
        <v>0.40659424585495701</v>
      </c>
      <c r="L22" s="3">
        <v>500000</v>
      </c>
      <c r="M22" s="6">
        <f t="shared" si="6"/>
        <v>0.3225806451612902</v>
      </c>
      <c r="N22" s="26">
        <f t="shared" si="7"/>
        <v>-0.10554561717352418</v>
      </c>
    </row>
    <row r="23" spans="1:14" ht="18" customHeight="1" x14ac:dyDescent="0.2">
      <c r="H23" s="15" t="s">
        <v>32</v>
      </c>
      <c r="I23" s="3">
        <v>95000</v>
      </c>
      <c r="J23" s="3">
        <f>I23+B17</f>
        <v>200140.00000000041</v>
      </c>
      <c r="K23" s="6">
        <f t="shared" si="8"/>
        <v>0.14557383249626343</v>
      </c>
      <c r="L23" s="5">
        <f>J23+D17</f>
        <v>450140.00000000041</v>
      </c>
      <c r="M23" s="6">
        <f t="shared" si="6"/>
        <v>0.29041290322580665</v>
      </c>
      <c r="N23" s="26">
        <f t="shared" si="7"/>
        <v>1.2491256120715475</v>
      </c>
    </row>
    <row r="24" spans="1:14" ht="18" customHeight="1" x14ac:dyDescent="0.2">
      <c r="H24" s="18" t="s">
        <v>33</v>
      </c>
      <c r="I24" s="12">
        <f>SUM(I22:I23)</f>
        <v>654000</v>
      </c>
      <c r="J24" s="12">
        <f>SUM(J22:J23)</f>
        <v>759140.00000000047</v>
      </c>
      <c r="K24" s="6">
        <f t="shared" si="8"/>
        <v>0.5521680783512205</v>
      </c>
      <c r="L24" s="12">
        <f>SUM(L22:L23)</f>
        <v>950140.00000000047</v>
      </c>
      <c r="M24" s="6">
        <f t="shared" si="6"/>
        <v>0.61299354838709685</v>
      </c>
      <c r="N24" s="26">
        <f t="shared" si="7"/>
        <v>0.25160049529730988</v>
      </c>
    </row>
    <row r="25" spans="1:14" ht="18" customHeight="1" thickBot="1" x14ac:dyDescent="0.25">
      <c r="H25" s="42" t="s">
        <v>40</v>
      </c>
      <c r="I25" s="43">
        <f>I18+I20+I24</f>
        <v>1175000</v>
      </c>
      <c r="J25" s="43">
        <f>J18+J20+J24</f>
        <v>1374835.0000000005</v>
      </c>
      <c r="K25" s="44">
        <f t="shared" si="8"/>
        <v>1</v>
      </c>
      <c r="L25" s="43">
        <f>L18+L20+L24</f>
        <v>1550000.0000000005</v>
      </c>
      <c r="M25" s="44">
        <f t="shared" si="6"/>
        <v>1</v>
      </c>
      <c r="N25" s="45">
        <f t="shared" si="7"/>
        <v>0.12740801623467535</v>
      </c>
    </row>
    <row r="26" spans="1:14" ht="18" customHeight="1" x14ac:dyDescent="0.2"/>
  </sheetData>
  <mergeCells count="2">
    <mergeCell ref="A1:F1"/>
    <mergeCell ref="H1:N1"/>
  </mergeCells>
  <phoneticPr fontId="2" type="noConversion"/>
  <printOptions gridLines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EDUARDO NASCIMENTO ALVES</cp:lastModifiedBy>
  <cp:lastPrinted>2011-06-15T11:22:48Z</cp:lastPrinted>
  <dcterms:created xsi:type="dcterms:W3CDTF">2011-05-26T17:23:28Z</dcterms:created>
  <dcterms:modified xsi:type="dcterms:W3CDTF">2026-05-18T20:16:16Z</dcterms:modified>
</cp:coreProperties>
</file>