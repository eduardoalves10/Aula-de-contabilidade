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_alves156\Documents\"/>
    </mc:Choice>
  </mc:AlternateContent>
  <xr:revisionPtr revIDLastSave="0" documentId="13_ncr:1_{A67518D3-66D0-449E-902D-DF2104C3ACC3}" xr6:coauthVersionLast="47" xr6:coauthVersionMax="47" xr10:uidLastSave="{00000000-0000-0000-0000-000000000000}"/>
  <bookViews>
    <workbookView xWindow="-120" yWindow="-120" windowWidth="20730" windowHeight="11040" xr2:uid="{968C580B-78D5-48EC-A65F-6B07DE51DB6D}"/>
  </bookViews>
  <sheets>
    <sheet name="04-2026" sheetId="1" r:id="rId1"/>
    <sheet name="05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2" l="1"/>
  <c r="D38" i="2"/>
  <c r="C38" i="2"/>
  <c r="B38" i="2"/>
  <c r="E37" i="2"/>
  <c r="D37" i="2"/>
  <c r="E36" i="2"/>
  <c r="D36" i="2"/>
  <c r="E35" i="2"/>
  <c r="D35" i="2"/>
  <c r="C30" i="2"/>
  <c r="B30" i="2"/>
  <c r="E30" i="2" s="1"/>
  <c r="E29" i="2"/>
  <c r="C29" i="2"/>
  <c r="B29" i="2"/>
  <c r="E28" i="2"/>
  <c r="E27" i="2"/>
  <c r="E26" i="2"/>
  <c r="E25" i="2"/>
  <c r="E24" i="2"/>
  <c r="E21" i="2"/>
  <c r="C21" i="2"/>
  <c r="B21" i="2"/>
  <c r="E20" i="2"/>
  <c r="E19" i="2"/>
  <c r="E18" i="2"/>
  <c r="E17" i="2"/>
  <c r="E16" i="2"/>
  <c r="E15" i="2"/>
  <c r="E14" i="2"/>
  <c r="E13" i="2"/>
  <c r="E12" i="2"/>
  <c r="E11" i="2"/>
  <c r="C6" i="2"/>
  <c r="D32" i="2" s="1"/>
  <c r="E36" i="1"/>
  <c r="E37" i="1"/>
  <c r="E35" i="1"/>
  <c r="D36" i="1"/>
  <c r="D37" i="1"/>
  <c r="D35" i="1"/>
  <c r="C38" i="1"/>
  <c r="B38" i="1"/>
  <c r="E38" i="1" s="1"/>
  <c r="E20" i="1"/>
  <c r="E25" i="1"/>
  <c r="E26" i="1"/>
  <c r="E27" i="1"/>
  <c r="E28" i="1"/>
  <c r="E24" i="1"/>
  <c r="E12" i="1"/>
  <c r="E13" i="1"/>
  <c r="E14" i="1"/>
  <c r="E15" i="1"/>
  <c r="E16" i="1"/>
  <c r="E17" i="1"/>
  <c r="E18" i="1"/>
  <c r="E19" i="1"/>
  <c r="E11" i="1"/>
  <c r="C29" i="1"/>
  <c r="B29" i="1"/>
  <c r="C21" i="1"/>
  <c r="B21" i="1"/>
  <c r="C6" i="1"/>
  <c r="E21" i="1" l="1"/>
  <c r="C30" i="1"/>
  <c r="D32" i="1" s="1"/>
  <c r="B30" i="1"/>
  <c r="E30" i="1" s="1"/>
  <c r="D38" i="1"/>
  <c r="E29" i="1"/>
</calcChain>
</file>

<file path=xl/sharedStrings.xml><?xml version="1.0" encoding="utf-8"?>
<sst xmlns="http://schemas.openxmlformats.org/spreadsheetml/2006/main" count="78" uniqueCount="37">
  <si>
    <t xml:space="preserve">Controle Financeiro </t>
  </si>
  <si>
    <t>Receitas</t>
  </si>
  <si>
    <t>Salário</t>
  </si>
  <si>
    <t>Outros</t>
  </si>
  <si>
    <t>Total de Receitas</t>
  </si>
  <si>
    <t>Despesas</t>
  </si>
  <si>
    <t xml:space="preserve">$ Orçado </t>
  </si>
  <si>
    <t>$ Realizado</t>
  </si>
  <si>
    <t>Desp. Fixas</t>
  </si>
  <si>
    <t>Agua</t>
  </si>
  <si>
    <t>Condimínio</t>
  </si>
  <si>
    <t>Gás</t>
  </si>
  <si>
    <t>Internet</t>
  </si>
  <si>
    <t>Plano de Saúde</t>
  </si>
  <si>
    <t>Combustível</t>
  </si>
  <si>
    <t>Supermercado</t>
  </si>
  <si>
    <t>Banho/Ração pet</t>
  </si>
  <si>
    <t>Netfilx</t>
  </si>
  <si>
    <t>Luz</t>
  </si>
  <si>
    <t>Total Desp. Fixas</t>
  </si>
  <si>
    <t>Desp. Variáveis</t>
  </si>
  <si>
    <t>IPTU (3/10)</t>
  </si>
  <si>
    <t>Magazine Luiza (4/8)</t>
  </si>
  <si>
    <t>Havan (2/6)</t>
  </si>
  <si>
    <t>Seguro do carro (3/6)</t>
  </si>
  <si>
    <t>Lazer</t>
  </si>
  <si>
    <t>Total Desp. Variav.</t>
  </si>
  <si>
    <t>Total das depesas</t>
  </si>
  <si>
    <t xml:space="preserve">Saldo </t>
  </si>
  <si>
    <t>Diferença</t>
  </si>
  <si>
    <t>Vecto</t>
  </si>
  <si>
    <t xml:space="preserve">Investimentos </t>
  </si>
  <si>
    <t xml:space="preserve">Poupança </t>
  </si>
  <si>
    <t>CDB ViaCredi</t>
  </si>
  <si>
    <t>Prev. Privada (Sicoob)</t>
  </si>
  <si>
    <t>Total investido</t>
  </si>
  <si>
    <t xml:space="preserve">Porc.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</si>
</sst>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16]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Border="1"/>
    <xf numFmtId="167" fontId="3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2" fontId="0" fillId="3" borderId="1" xfId="0" applyNumberForma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167" fontId="2" fillId="2" borderId="1" xfId="0" applyNumberFormat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10" fontId="2" fillId="3" borderId="1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347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6328-9403-47DD-954F-39C3A1C83448}">
  <dimension ref="A1:F38"/>
  <sheetViews>
    <sheetView tabSelected="1" workbookViewId="0">
      <selection activeCell="F32" sqref="F32"/>
    </sheetView>
  </sheetViews>
  <sheetFormatPr defaultRowHeight="15" x14ac:dyDescent="0.25"/>
  <cols>
    <col min="1" max="1" width="20.5703125" bestFit="1" customWidth="1"/>
    <col min="3" max="3" width="11.5703125" bestFit="1" customWidth="1"/>
    <col min="4" max="4" width="11.140625" bestFit="1" customWidth="1"/>
    <col min="5" max="6" width="9.85546875" bestFit="1" customWidth="1"/>
  </cols>
  <sheetData>
    <row r="1" spans="1:5" x14ac:dyDescent="0.25">
      <c r="A1" s="7" t="s">
        <v>0</v>
      </c>
      <c r="B1" s="7"/>
      <c r="C1" s="2">
        <v>46138</v>
      </c>
    </row>
    <row r="2" spans="1:5" x14ac:dyDescent="0.25">
      <c r="A2" s="3"/>
      <c r="B2" s="3"/>
      <c r="C2" s="3"/>
    </row>
    <row r="3" spans="1:5" x14ac:dyDescent="0.25">
      <c r="A3" s="4" t="s">
        <v>1</v>
      </c>
      <c r="B3" s="3"/>
      <c r="C3" s="3"/>
    </row>
    <row r="4" spans="1:5" x14ac:dyDescent="0.25">
      <c r="A4" s="3" t="s">
        <v>2</v>
      </c>
      <c r="B4" s="3"/>
      <c r="C4" s="5">
        <v>3700</v>
      </c>
    </row>
    <row r="5" spans="1:5" x14ac:dyDescent="0.25">
      <c r="A5" s="3" t="s">
        <v>3</v>
      </c>
      <c r="B5" s="3"/>
      <c r="C5" s="5">
        <v>400</v>
      </c>
    </row>
    <row r="6" spans="1:5" x14ac:dyDescent="0.25">
      <c r="A6" s="4" t="s">
        <v>4</v>
      </c>
      <c r="B6" s="3"/>
      <c r="C6" s="6">
        <f>SUM(C4:C5)</f>
        <v>4100</v>
      </c>
    </row>
    <row r="9" spans="1:5" x14ac:dyDescent="0.25">
      <c r="A9" s="8" t="s">
        <v>5</v>
      </c>
      <c r="B9" s="8" t="s">
        <v>6</v>
      </c>
      <c r="C9" s="8" t="s">
        <v>7</v>
      </c>
      <c r="D9" s="8" t="s">
        <v>30</v>
      </c>
      <c r="E9" s="8" t="s">
        <v>29</v>
      </c>
    </row>
    <row r="10" spans="1:5" x14ac:dyDescent="0.25">
      <c r="A10" s="8" t="s">
        <v>8</v>
      </c>
      <c r="B10" s="9"/>
      <c r="C10" s="9"/>
      <c r="D10" s="9"/>
      <c r="E10" s="9"/>
    </row>
    <row r="11" spans="1:5" x14ac:dyDescent="0.25">
      <c r="A11" s="3" t="s">
        <v>9</v>
      </c>
      <c r="B11" s="5">
        <v>90</v>
      </c>
      <c r="C11" s="5">
        <v>87</v>
      </c>
      <c r="D11" s="10">
        <v>15</v>
      </c>
      <c r="E11" s="5">
        <f>B11-C11</f>
        <v>3</v>
      </c>
    </row>
    <row r="12" spans="1:5" x14ac:dyDescent="0.25">
      <c r="A12" s="3" t="s">
        <v>10</v>
      </c>
      <c r="B12" s="5">
        <v>450</v>
      </c>
      <c r="C12" s="5">
        <v>480</v>
      </c>
      <c r="D12" s="10">
        <v>10</v>
      </c>
      <c r="E12" s="5">
        <f t="shared" ref="E12:E19" si="0">B12-C12</f>
        <v>-30</v>
      </c>
    </row>
    <row r="13" spans="1:5" x14ac:dyDescent="0.25">
      <c r="A13" s="3" t="s">
        <v>11</v>
      </c>
      <c r="B13" s="5">
        <v>37</v>
      </c>
      <c r="C13" s="5">
        <v>35</v>
      </c>
      <c r="D13" s="10">
        <v>12</v>
      </c>
      <c r="E13" s="5">
        <f t="shared" si="0"/>
        <v>2</v>
      </c>
    </row>
    <row r="14" spans="1:5" x14ac:dyDescent="0.25">
      <c r="A14" s="3" t="s">
        <v>18</v>
      </c>
      <c r="B14" s="5">
        <v>300</v>
      </c>
      <c r="C14" s="5">
        <v>340</v>
      </c>
      <c r="D14" s="10">
        <v>22</v>
      </c>
      <c r="E14" s="5">
        <f t="shared" si="0"/>
        <v>-40</v>
      </c>
    </row>
    <row r="15" spans="1:5" x14ac:dyDescent="0.25">
      <c r="A15" s="3" t="s">
        <v>12</v>
      </c>
      <c r="B15" s="5">
        <v>110</v>
      </c>
      <c r="C15" s="5">
        <v>110</v>
      </c>
      <c r="D15" s="10">
        <v>15</v>
      </c>
      <c r="E15" s="5">
        <f t="shared" si="0"/>
        <v>0</v>
      </c>
    </row>
    <row r="16" spans="1:5" x14ac:dyDescent="0.25">
      <c r="A16" s="3" t="s">
        <v>13</v>
      </c>
      <c r="B16" s="5">
        <v>500</v>
      </c>
      <c r="C16" s="5">
        <v>500</v>
      </c>
      <c r="D16" s="10">
        <v>10</v>
      </c>
      <c r="E16" s="5">
        <f t="shared" si="0"/>
        <v>0</v>
      </c>
    </row>
    <row r="17" spans="1:5" x14ac:dyDescent="0.25">
      <c r="A17" s="3" t="s">
        <v>14</v>
      </c>
      <c r="B17" s="5">
        <v>700</v>
      </c>
      <c r="C17" s="5">
        <v>780</v>
      </c>
      <c r="D17" s="10"/>
      <c r="E17" s="5">
        <f t="shared" si="0"/>
        <v>-80</v>
      </c>
    </row>
    <row r="18" spans="1:5" x14ac:dyDescent="0.25">
      <c r="A18" s="3" t="s">
        <v>15</v>
      </c>
      <c r="B18" s="5">
        <v>800</v>
      </c>
      <c r="C18" s="5">
        <v>870</v>
      </c>
      <c r="D18" s="10"/>
      <c r="E18" s="5">
        <f t="shared" si="0"/>
        <v>-70</v>
      </c>
    </row>
    <row r="19" spans="1:5" x14ac:dyDescent="0.25">
      <c r="A19" s="3" t="s">
        <v>16</v>
      </c>
      <c r="B19" s="5">
        <v>300</v>
      </c>
      <c r="C19" s="5">
        <v>250</v>
      </c>
      <c r="D19" s="10">
        <v>20</v>
      </c>
      <c r="E19" s="5">
        <f t="shared" si="0"/>
        <v>50</v>
      </c>
    </row>
    <row r="20" spans="1:5" x14ac:dyDescent="0.25">
      <c r="A20" s="3" t="s">
        <v>17</v>
      </c>
      <c r="B20" s="5">
        <v>60</v>
      </c>
      <c r="C20" s="5">
        <v>60</v>
      </c>
      <c r="D20" s="10">
        <v>15</v>
      </c>
      <c r="E20" s="5">
        <f>B20-C20</f>
        <v>0</v>
      </c>
    </row>
    <row r="21" spans="1:5" x14ac:dyDescent="0.25">
      <c r="A21" s="4" t="s">
        <v>19</v>
      </c>
      <c r="B21" s="6">
        <f>SUM(B11:B20)</f>
        <v>3347</v>
      </c>
      <c r="C21" s="6">
        <f>SUM(C11:C20)</f>
        <v>3512</v>
      </c>
      <c r="D21" s="3"/>
      <c r="E21" s="6">
        <f>B21-C21</f>
        <v>-165</v>
      </c>
    </row>
    <row r="23" spans="1:5" x14ac:dyDescent="0.25">
      <c r="A23" s="8" t="s">
        <v>20</v>
      </c>
      <c r="B23" s="9"/>
      <c r="C23" s="9"/>
      <c r="D23" s="9"/>
      <c r="E23" s="8" t="s">
        <v>29</v>
      </c>
    </row>
    <row r="24" spans="1:5" x14ac:dyDescent="0.25">
      <c r="A24" s="3" t="s">
        <v>21</v>
      </c>
      <c r="B24" s="5">
        <v>75</v>
      </c>
      <c r="C24" s="5">
        <v>75</v>
      </c>
      <c r="D24" s="10">
        <v>10</v>
      </c>
      <c r="E24" s="5">
        <f>B24-C24</f>
        <v>0</v>
      </c>
    </row>
    <row r="25" spans="1:5" x14ac:dyDescent="0.25">
      <c r="A25" s="12" t="s">
        <v>22</v>
      </c>
      <c r="B25" s="5">
        <v>95</v>
      </c>
      <c r="C25" s="5">
        <v>98</v>
      </c>
      <c r="D25" s="10">
        <v>15</v>
      </c>
      <c r="E25" s="5">
        <f t="shared" ref="E25:E30" si="1">B25-C25</f>
        <v>-3</v>
      </c>
    </row>
    <row r="26" spans="1:5" x14ac:dyDescent="0.25">
      <c r="A26" s="12" t="s">
        <v>23</v>
      </c>
      <c r="B26" s="5">
        <v>110</v>
      </c>
      <c r="C26" s="5">
        <v>115</v>
      </c>
      <c r="D26" s="10">
        <v>15</v>
      </c>
      <c r="E26" s="5">
        <f t="shared" si="1"/>
        <v>-5</v>
      </c>
    </row>
    <row r="27" spans="1:5" x14ac:dyDescent="0.25">
      <c r="A27" s="12" t="s">
        <v>24</v>
      </c>
      <c r="B27" s="5">
        <v>150</v>
      </c>
      <c r="C27" s="5">
        <v>150</v>
      </c>
      <c r="D27" s="10">
        <v>20</v>
      </c>
      <c r="E27" s="5">
        <f t="shared" si="1"/>
        <v>0</v>
      </c>
    </row>
    <row r="28" spans="1:5" x14ac:dyDescent="0.25">
      <c r="A28" s="12" t="s">
        <v>25</v>
      </c>
      <c r="B28" s="5">
        <v>300</v>
      </c>
      <c r="C28" s="5">
        <v>50</v>
      </c>
      <c r="D28" s="3"/>
      <c r="E28" s="5">
        <f t="shared" si="1"/>
        <v>250</v>
      </c>
    </row>
    <row r="29" spans="1:5" x14ac:dyDescent="0.25">
      <c r="A29" s="4" t="s">
        <v>26</v>
      </c>
      <c r="B29" s="6">
        <f>SUM(B24:B28)</f>
        <v>730</v>
      </c>
      <c r="C29" s="11">
        <f>SUM(C24:C28)</f>
        <v>488</v>
      </c>
      <c r="D29" s="3"/>
      <c r="E29" s="5">
        <f t="shared" si="1"/>
        <v>242</v>
      </c>
    </row>
    <row r="30" spans="1:5" x14ac:dyDescent="0.25">
      <c r="A30" s="4" t="s">
        <v>27</v>
      </c>
      <c r="B30" s="6">
        <f>B21+B29</f>
        <v>4077</v>
      </c>
      <c r="C30" s="6">
        <f>C21+C29</f>
        <v>4000</v>
      </c>
      <c r="D30" s="3"/>
      <c r="E30" s="6">
        <f t="shared" si="1"/>
        <v>77</v>
      </c>
    </row>
    <row r="32" spans="1:5" x14ac:dyDescent="0.25">
      <c r="A32" s="11" t="s">
        <v>28</v>
      </c>
      <c r="B32" s="10"/>
      <c r="C32" s="10"/>
      <c r="D32" s="6">
        <f>C6-C30</f>
        <v>100</v>
      </c>
    </row>
    <row r="34" spans="1:6" x14ac:dyDescent="0.25">
      <c r="A34" s="8" t="s">
        <v>31</v>
      </c>
      <c r="B34" s="13">
        <v>46082</v>
      </c>
      <c r="C34" s="13">
        <v>46113</v>
      </c>
      <c r="D34" s="8" t="s">
        <v>29</v>
      </c>
      <c r="E34" s="14" t="s">
        <v>36</v>
      </c>
    </row>
    <row r="35" spans="1:6" x14ac:dyDescent="0.25">
      <c r="A35" s="3" t="s">
        <v>32</v>
      </c>
      <c r="B35" s="5">
        <v>840</v>
      </c>
      <c r="C35" s="5">
        <v>850</v>
      </c>
      <c r="D35" s="5">
        <f>C35-B35</f>
        <v>10</v>
      </c>
      <c r="E35" s="16">
        <f>C35/B35-1</f>
        <v>1.1904761904761862E-2</v>
      </c>
    </row>
    <row r="36" spans="1:6" x14ac:dyDescent="0.25">
      <c r="A36" s="12" t="s">
        <v>33</v>
      </c>
      <c r="B36" s="5">
        <v>1175</v>
      </c>
      <c r="C36" s="5">
        <v>1190</v>
      </c>
      <c r="D36" s="5">
        <f t="shared" ref="D36:D38" si="2">C36-B36</f>
        <v>15</v>
      </c>
      <c r="E36" s="16">
        <f>C36/B36-1</f>
        <v>1.2765957446808418E-2</v>
      </c>
    </row>
    <row r="37" spans="1:6" x14ac:dyDescent="0.25">
      <c r="A37" s="3" t="s">
        <v>34</v>
      </c>
      <c r="B37" s="5">
        <v>2380</v>
      </c>
      <c r="C37" s="5">
        <v>2450</v>
      </c>
      <c r="D37" s="5">
        <f t="shared" si="2"/>
        <v>70</v>
      </c>
      <c r="E37" s="16">
        <f>C37/B37-1</f>
        <v>2.9411764705882248E-2</v>
      </c>
    </row>
    <row r="38" spans="1:6" x14ac:dyDescent="0.25">
      <c r="A38" s="4" t="s">
        <v>35</v>
      </c>
      <c r="B38" s="6">
        <f>SUM(B35:B37)</f>
        <v>4395</v>
      </c>
      <c r="C38" s="6">
        <f>SUM(C35:C37)</f>
        <v>4490</v>
      </c>
      <c r="D38" s="6">
        <f t="shared" si="2"/>
        <v>95</v>
      </c>
      <c r="E38" s="15">
        <f>C38/B38-1</f>
        <v>2.1615472127417545E-2</v>
      </c>
      <c r="F38" s="1"/>
    </row>
  </sheetData>
  <conditionalFormatting sqref="E11:E21">
    <cfRule type="cellIs" dxfId="15" priority="8" operator="greaterThan">
      <formula>0</formula>
    </cfRule>
  </conditionalFormatting>
  <conditionalFormatting sqref="E9:E21">
    <cfRule type="cellIs" dxfId="14" priority="7" operator="lessThan">
      <formula>0</formula>
    </cfRule>
  </conditionalFormatting>
  <conditionalFormatting sqref="E24:E30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D32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D35:D38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7E45-10ED-4393-8C4F-D0EE11646EE1}">
  <dimension ref="A1:F38"/>
  <sheetViews>
    <sheetView workbookViewId="0">
      <selection activeCell="E32" sqref="E32"/>
    </sheetView>
  </sheetViews>
  <sheetFormatPr defaultRowHeight="15" x14ac:dyDescent="0.25"/>
  <cols>
    <col min="1" max="1" width="20.5703125" bestFit="1" customWidth="1"/>
    <col min="3" max="3" width="11.5703125" bestFit="1" customWidth="1"/>
    <col min="4" max="4" width="11.140625" bestFit="1" customWidth="1"/>
    <col min="5" max="6" width="9.85546875" bestFit="1" customWidth="1"/>
  </cols>
  <sheetData>
    <row r="1" spans="1:5" x14ac:dyDescent="0.25">
      <c r="A1" s="7" t="s">
        <v>0</v>
      </c>
      <c r="B1" s="7"/>
      <c r="C1" s="2">
        <v>46157</v>
      </c>
    </row>
    <row r="2" spans="1:5" x14ac:dyDescent="0.25">
      <c r="A2" s="3"/>
      <c r="B2" s="3"/>
      <c r="C2" s="3"/>
    </row>
    <row r="3" spans="1:5" x14ac:dyDescent="0.25">
      <c r="A3" s="4" t="s">
        <v>1</v>
      </c>
      <c r="B3" s="3"/>
      <c r="C3" s="3"/>
    </row>
    <row r="4" spans="1:5" x14ac:dyDescent="0.25">
      <c r="A4" s="3" t="s">
        <v>2</v>
      </c>
      <c r="B4" s="3"/>
      <c r="C4" s="5">
        <v>3700</v>
      </c>
    </row>
    <row r="5" spans="1:5" x14ac:dyDescent="0.25">
      <c r="A5" s="3" t="s">
        <v>3</v>
      </c>
      <c r="B5" s="3"/>
      <c r="C5" s="5">
        <v>400</v>
      </c>
    </row>
    <row r="6" spans="1:5" x14ac:dyDescent="0.25">
      <c r="A6" s="4" t="s">
        <v>4</v>
      </c>
      <c r="B6" s="3"/>
      <c r="C6" s="6">
        <f>SUM(C4:C5)</f>
        <v>4100</v>
      </c>
    </row>
    <row r="9" spans="1:5" x14ac:dyDescent="0.25">
      <c r="A9" s="8" t="s">
        <v>5</v>
      </c>
      <c r="B9" s="8" t="s">
        <v>6</v>
      </c>
      <c r="C9" s="8" t="s">
        <v>7</v>
      </c>
      <c r="D9" s="8" t="s">
        <v>30</v>
      </c>
      <c r="E9" s="8" t="s">
        <v>29</v>
      </c>
    </row>
    <row r="10" spans="1:5" x14ac:dyDescent="0.25">
      <c r="A10" s="8" t="s">
        <v>8</v>
      </c>
      <c r="B10" s="9"/>
      <c r="C10" s="9"/>
      <c r="D10" s="9"/>
      <c r="E10" s="9"/>
    </row>
    <row r="11" spans="1:5" x14ac:dyDescent="0.25">
      <c r="A11" s="3" t="s">
        <v>9</v>
      </c>
      <c r="B11" s="5">
        <v>90</v>
      </c>
      <c r="C11" s="5">
        <v>87</v>
      </c>
      <c r="D11" s="10">
        <v>15</v>
      </c>
      <c r="E11" s="5">
        <f>B11-C11</f>
        <v>3</v>
      </c>
    </row>
    <row r="12" spans="1:5" x14ac:dyDescent="0.25">
      <c r="A12" s="3" t="s">
        <v>10</v>
      </c>
      <c r="B12" s="5">
        <v>450</v>
      </c>
      <c r="C12" s="5">
        <v>480</v>
      </c>
      <c r="D12" s="10">
        <v>10</v>
      </c>
      <c r="E12" s="5">
        <f t="shared" ref="E12:E19" si="0">B12-C12</f>
        <v>-30</v>
      </c>
    </row>
    <row r="13" spans="1:5" x14ac:dyDescent="0.25">
      <c r="A13" s="3" t="s">
        <v>11</v>
      </c>
      <c r="B13" s="5">
        <v>37</v>
      </c>
      <c r="C13" s="5">
        <v>35</v>
      </c>
      <c r="D13" s="10">
        <v>12</v>
      </c>
      <c r="E13" s="5">
        <f t="shared" si="0"/>
        <v>2</v>
      </c>
    </row>
    <row r="14" spans="1:5" x14ac:dyDescent="0.25">
      <c r="A14" s="3" t="s">
        <v>18</v>
      </c>
      <c r="B14" s="5">
        <v>300</v>
      </c>
      <c r="C14" s="5">
        <v>340</v>
      </c>
      <c r="D14" s="10">
        <v>22</v>
      </c>
      <c r="E14" s="5">
        <f t="shared" si="0"/>
        <v>-40</v>
      </c>
    </row>
    <row r="15" spans="1:5" x14ac:dyDescent="0.25">
      <c r="A15" s="3" t="s">
        <v>12</v>
      </c>
      <c r="B15" s="5">
        <v>110</v>
      </c>
      <c r="C15" s="5">
        <v>110</v>
      </c>
      <c r="D15" s="10">
        <v>15</v>
      </c>
      <c r="E15" s="5">
        <f t="shared" si="0"/>
        <v>0</v>
      </c>
    </row>
    <row r="16" spans="1:5" x14ac:dyDescent="0.25">
      <c r="A16" s="3" t="s">
        <v>13</v>
      </c>
      <c r="B16" s="5">
        <v>500</v>
      </c>
      <c r="C16" s="5">
        <v>500</v>
      </c>
      <c r="D16" s="10">
        <v>10</v>
      </c>
      <c r="E16" s="5">
        <f t="shared" si="0"/>
        <v>0</v>
      </c>
    </row>
    <row r="17" spans="1:5" x14ac:dyDescent="0.25">
      <c r="A17" s="3" t="s">
        <v>14</v>
      </c>
      <c r="B17" s="5">
        <v>700</v>
      </c>
      <c r="C17" s="5">
        <v>780</v>
      </c>
      <c r="D17" s="10"/>
      <c r="E17" s="5">
        <f t="shared" si="0"/>
        <v>-80</v>
      </c>
    </row>
    <row r="18" spans="1:5" x14ac:dyDescent="0.25">
      <c r="A18" s="3" t="s">
        <v>15</v>
      </c>
      <c r="B18" s="5">
        <v>800</v>
      </c>
      <c r="C18" s="5">
        <v>870</v>
      </c>
      <c r="D18" s="10"/>
      <c r="E18" s="5">
        <f t="shared" si="0"/>
        <v>-70</v>
      </c>
    </row>
    <row r="19" spans="1:5" x14ac:dyDescent="0.25">
      <c r="A19" s="3" t="s">
        <v>16</v>
      </c>
      <c r="B19" s="5">
        <v>300</v>
      </c>
      <c r="C19" s="5">
        <v>250</v>
      </c>
      <c r="D19" s="10">
        <v>20</v>
      </c>
      <c r="E19" s="5">
        <f t="shared" si="0"/>
        <v>50</v>
      </c>
    </row>
    <row r="20" spans="1:5" x14ac:dyDescent="0.25">
      <c r="A20" s="3" t="s">
        <v>17</v>
      </c>
      <c r="B20" s="5">
        <v>60</v>
      </c>
      <c r="C20" s="5">
        <v>60</v>
      </c>
      <c r="D20" s="10">
        <v>15</v>
      </c>
      <c r="E20" s="5">
        <f>B20-C20</f>
        <v>0</v>
      </c>
    </row>
    <row r="21" spans="1:5" x14ac:dyDescent="0.25">
      <c r="A21" s="4" t="s">
        <v>19</v>
      </c>
      <c r="B21" s="6">
        <f>SUM(B11:B20)</f>
        <v>3347</v>
      </c>
      <c r="C21" s="6">
        <f>SUM(C11:C20)</f>
        <v>3512</v>
      </c>
      <c r="D21" s="3"/>
      <c r="E21" s="6">
        <f>B21-C21</f>
        <v>-165</v>
      </c>
    </row>
    <row r="23" spans="1:5" x14ac:dyDescent="0.25">
      <c r="A23" s="8" t="s">
        <v>20</v>
      </c>
      <c r="B23" s="9"/>
      <c r="C23" s="9"/>
      <c r="D23" s="9"/>
      <c r="E23" s="8" t="s">
        <v>29</v>
      </c>
    </row>
    <row r="24" spans="1:5" x14ac:dyDescent="0.25">
      <c r="A24" s="3" t="s">
        <v>21</v>
      </c>
      <c r="B24" s="5">
        <v>75</v>
      </c>
      <c r="C24" s="5">
        <v>75</v>
      </c>
      <c r="D24" s="10">
        <v>10</v>
      </c>
      <c r="E24" s="5">
        <f>B24-C24</f>
        <v>0</v>
      </c>
    </row>
    <row r="25" spans="1:5" x14ac:dyDescent="0.25">
      <c r="A25" s="12" t="s">
        <v>22</v>
      </c>
      <c r="B25" s="5">
        <v>95</v>
      </c>
      <c r="C25" s="5">
        <v>98</v>
      </c>
      <c r="D25" s="10">
        <v>15</v>
      </c>
      <c r="E25" s="5">
        <f t="shared" ref="E25:E30" si="1">B25-C25</f>
        <v>-3</v>
      </c>
    </row>
    <row r="26" spans="1:5" x14ac:dyDescent="0.25">
      <c r="A26" s="12" t="s">
        <v>23</v>
      </c>
      <c r="B26" s="5">
        <v>110</v>
      </c>
      <c r="C26" s="5">
        <v>115</v>
      </c>
      <c r="D26" s="10">
        <v>15</v>
      </c>
      <c r="E26" s="5">
        <f t="shared" si="1"/>
        <v>-5</v>
      </c>
    </row>
    <row r="27" spans="1:5" x14ac:dyDescent="0.25">
      <c r="A27" s="12" t="s">
        <v>24</v>
      </c>
      <c r="B27" s="5">
        <v>150</v>
      </c>
      <c r="C27" s="5">
        <v>150</v>
      </c>
      <c r="D27" s="10">
        <v>20</v>
      </c>
      <c r="E27" s="5">
        <f t="shared" si="1"/>
        <v>0</v>
      </c>
    </row>
    <row r="28" spans="1:5" x14ac:dyDescent="0.25">
      <c r="A28" s="12" t="s">
        <v>25</v>
      </c>
      <c r="B28" s="5">
        <v>300</v>
      </c>
      <c r="C28" s="5">
        <v>50</v>
      </c>
      <c r="D28" s="3"/>
      <c r="E28" s="5">
        <f t="shared" si="1"/>
        <v>250</v>
      </c>
    </row>
    <row r="29" spans="1:5" x14ac:dyDescent="0.25">
      <c r="A29" s="4" t="s">
        <v>26</v>
      </c>
      <c r="B29" s="6">
        <f>SUM(B24:B28)</f>
        <v>730</v>
      </c>
      <c r="C29" s="11">
        <f>SUM(C24:C28)</f>
        <v>488</v>
      </c>
      <c r="D29" s="3"/>
      <c r="E29" s="5">
        <f t="shared" si="1"/>
        <v>242</v>
      </c>
    </row>
    <row r="30" spans="1:5" x14ac:dyDescent="0.25">
      <c r="A30" s="4" t="s">
        <v>27</v>
      </c>
      <c r="B30" s="6">
        <f>B21+B29</f>
        <v>4077</v>
      </c>
      <c r="C30" s="6">
        <f>C21+C29</f>
        <v>4000</v>
      </c>
      <c r="D30" s="3"/>
      <c r="E30" s="6">
        <f t="shared" si="1"/>
        <v>77</v>
      </c>
    </row>
    <row r="32" spans="1:5" x14ac:dyDescent="0.25">
      <c r="A32" s="11" t="s">
        <v>28</v>
      </c>
      <c r="B32" s="10"/>
      <c r="C32" s="10"/>
      <c r="D32" s="6">
        <f>C6-C30</f>
        <v>100</v>
      </c>
    </row>
    <row r="34" spans="1:6" x14ac:dyDescent="0.25">
      <c r="A34" s="8" t="s">
        <v>31</v>
      </c>
      <c r="B34" s="13">
        <v>46082</v>
      </c>
      <c r="C34" s="13">
        <v>46113</v>
      </c>
      <c r="D34" s="8" t="s">
        <v>29</v>
      </c>
      <c r="E34" s="14" t="s">
        <v>36</v>
      </c>
    </row>
    <row r="35" spans="1:6" x14ac:dyDescent="0.25">
      <c r="A35" s="3" t="s">
        <v>32</v>
      </c>
      <c r="B35" s="5">
        <v>840</v>
      </c>
      <c r="C35" s="5">
        <v>850</v>
      </c>
      <c r="D35" s="5">
        <f>C35-B35</f>
        <v>10</v>
      </c>
      <c r="E35" s="16">
        <f>C35/B35-1</f>
        <v>1.1904761904761862E-2</v>
      </c>
    </row>
    <row r="36" spans="1:6" x14ac:dyDescent="0.25">
      <c r="A36" s="12" t="s">
        <v>33</v>
      </c>
      <c r="B36" s="5">
        <v>1175</v>
      </c>
      <c r="C36" s="5">
        <v>1190</v>
      </c>
      <c r="D36" s="5">
        <f t="shared" ref="D36:D38" si="2">C36-B36</f>
        <v>15</v>
      </c>
      <c r="E36" s="16">
        <f>C36/B36-1</f>
        <v>1.2765957446808418E-2</v>
      </c>
    </row>
    <row r="37" spans="1:6" x14ac:dyDescent="0.25">
      <c r="A37" s="3" t="s">
        <v>34</v>
      </c>
      <c r="B37" s="5">
        <v>2380</v>
      </c>
      <c r="C37" s="5">
        <v>2450</v>
      </c>
      <c r="D37" s="5">
        <f t="shared" si="2"/>
        <v>70</v>
      </c>
      <c r="E37" s="16">
        <f>C37/B37-1</f>
        <v>2.9411764705882248E-2</v>
      </c>
    </row>
    <row r="38" spans="1:6" x14ac:dyDescent="0.25">
      <c r="A38" s="4" t="s">
        <v>35</v>
      </c>
      <c r="B38" s="6">
        <f>SUM(B35:B37)</f>
        <v>4395</v>
      </c>
      <c r="C38" s="6">
        <f>SUM(C35:C37)</f>
        <v>4490</v>
      </c>
      <c r="D38" s="6">
        <f t="shared" si="2"/>
        <v>95</v>
      </c>
      <c r="E38" s="15">
        <f>C38/B38-1</f>
        <v>2.1615472127417545E-2</v>
      </c>
      <c r="F38" s="1"/>
    </row>
  </sheetData>
  <conditionalFormatting sqref="E11:E21">
    <cfRule type="cellIs" dxfId="7" priority="8" operator="greaterThan">
      <formula>0</formula>
    </cfRule>
  </conditionalFormatting>
  <conditionalFormatting sqref="E9:E21">
    <cfRule type="cellIs" dxfId="6" priority="7" operator="lessThan">
      <formula>0</formula>
    </cfRule>
  </conditionalFormatting>
  <conditionalFormatting sqref="E24:E30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3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35:D3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04-2026</vt:lpstr>
      <vt:lpstr>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NASCIMENTO ALVES</dc:creator>
  <cp:lastModifiedBy>EDUARDO NASCIMENTO ALVES</cp:lastModifiedBy>
  <dcterms:created xsi:type="dcterms:W3CDTF">2026-04-27T16:57:17Z</dcterms:created>
  <dcterms:modified xsi:type="dcterms:W3CDTF">2026-04-27T19:06:22Z</dcterms:modified>
</cp:coreProperties>
</file>