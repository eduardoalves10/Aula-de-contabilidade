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F1ADBF38-E4F7-43B8-848F-0E998C8F0BC1}" xr6:coauthVersionLast="47" xr6:coauthVersionMax="47" xr10:uidLastSave="{00000000-0000-0000-0000-000000000000}"/>
  <bookViews>
    <workbookView xWindow="-120" yWindow="-120" windowWidth="20730" windowHeight="11040" xr2:uid="{490B7247-CC5E-4251-B681-1CB04299DF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J8" i="1"/>
  <c r="J4" i="1"/>
  <c r="J5" i="1"/>
  <c r="J6" i="1"/>
  <c r="J7" i="1"/>
  <c r="J3" i="1"/>
  <c r="K3" i="1"/>
  <c r="O5" i="1"/>
  <c r="O3" i="1"/>
  <c r="D7" i="1"/>
  <c r="D3" i="1"/>
  <c r="D4" i="1"/>
  <c r="D5" i="1"/>
  <c r="D6" i="1"/>
  <c r="G7" i="1" l="1"/>
  <c r="E7" i="1"/>
  <c r="E3" i="1"/>
  <c r="G6" i="1"/>
  <c r="G5" i="1"/>
  <c r="G4" i="1"/>
  <c r="G3" i="1"/>
  <c r="E6" i="1"/>
  <c r="E5" i="1"/>
  <c r="E4" i="1"/>
  <c r="D8" i="1"/>
</calcChain>
</file>

<file path=xl/sharedStrings.xml><?xml version="1.0" encoding="utf-8"?>
<sst xmlns="http://schemas.openxmlformats.org/spreadsheetml/2006/main" count="20" uniqueCount="18">
  <si>
    <t>Produto</t>
  </si>
  <si>
    <t>Sabão em pó Omo</t>
  </si>
  <si>
    <t>Amaciante Confort</t>
  </si>
  <si>
    <t>Detergente Ypê</t>
  </si>
  <si>
    <t>Cloro</t>
  </si>
  <si>
    <t>Shampoo Eudora</t>
  </si>
  <si>
    <t>Valores expressos em Reais (R$)</t>
  </si>
  <si>
    <t>Qtdade</t>
  </si>
  <si>
    <t>Unit</t>
  </si>
  <si>
    <t>Total</t>
  </si>
  <si>
    <t>Giassi</t>
  </si>
  <si>
    <t xml:space="preserve">% Desc. </t>
  </si>
  <si>
    <t>%</t>
  </si>
  <si>
    <t>% Aum</t>
  </si>
  <si>
    <t>% Desc</t>
  </si>
  <si>
    <t>% Aum.</t>
  </si>
  <si>
    <t>Unit Novo</t>
  </si>
  <si>
    <t>Tot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</si>
</sst>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7DA2-9F2B-4642-B513-3973325E9AD0}">
  <dimension ref="A1:O9"/>
  <sheetViews>
    <sheetView tabSelected="1" workbookViewId="0">
      <selection activeCell="I2" sqref="I2"/>
    </sheetView>
  </sheetViews>
  <sheetFormatPr defaultRowHeight="15" x14ac:dyDescent="0.25"/>
  <cols>
    <col min="1" max="1" width="17.5703125" bestFit="1" customWidth="1"/>
    <col min="2" max="2" width="7.42578125" customWidth="1"/>
    <col min="11" max="11" width="10.140625" bestFit="1" customWidth="1"/>
  </cols>
  <sheetData>
    <row r="1" spans="1:15" x14ac:dyDescent="0.25">
      <c r="C1" s="4" t="s">
        <v>10</v>
      </c>
      <c r="D1" s="3"/>
      <c r="E1" s="2"/>
      <c r="F1" s="2"/>
    </row>
    <row r="2" spans="1:15" x14ac:dyDescent="0.25">
      <c r="A2" s="1" t="s">
        <v>0</v>
      </c>
      <c r="B2" s="1" t="s">
        <v>7</v>
      </c>
      <c r="C2" s="1" t="s">
        <v>8</v>
      </c>
      <c r="D2" s="1" t="s">
        <v>9</v>
      </c>
      <c r="E2" s="1" t="s">
        <v>14</v>
      </c>
      <c r="F2" s="6" t="s">
        <v>12</v>
      </c>
      <c r="G2" s="7" t="s">
        <v>13</v>
      </c>
      <c r="H2" s="7" t="s">
        <v>12</v>
      </c>
      <c r="I2" s="1" t="s">
        <v>16</v>
      </c>
      <c r="J2" s="1" t="s">
        <v>17</v>
      </c>
      <c r="K2" s="1" t="s">
        <v>12</v>
      </c>
      <c r="L2" s="1"/>
      <c r="N2" t="s">
        <v>6</v>
      </c>
    </row>
    <row r="3" spans="1:15" x14ac:dyDescent="0.25">
      <c r="A3" t="s">
        <v>1</v>
      </c>
      <c r="B3" s="2">
        <v>4</v>
      </c>
      <c r="C3" s="5">
        <v>35.9</v>
      </c>
      <c r="D3" s="5">
        <f>B3*C3</f>
        <v>143.6</v>
      </c>
      <c r="E3" s="5">
        <f>D3*$O$3</f>
        <v>134.98399999999998</v>
      </c>
      <c r="F3" s="5">
        <v>6.21</v>
      </c>
      <c r="G3" s="5">
        <f>D3*$O$5</f>
        <v>153.65200000000002</v>
      </c>
      <c r="H3" s="9"/>
      <c r="I3" s="8">
        <v>32.200000000000003</v>
      </c>
      <c r="J3" s="8">
        <f>$B3*I3</f>
        <v>128.80000000000001</v>
      </c>
      <c r="K3" s="10">
        <f>I3/C3-1</f>
        <v>-0.10306406685236758</v>
      </c>
      <c r="L3" s="8"/>
      <c r="N3" t="s">
        <v>11</v>
      </c>
      <c r="O3">
        <f>1-N4/100</f>
        <v>0.94</v>
      </c>
    </row>
    <row r="4" spans="1:15" x14ac:dyDescent="0.25">
      <c r="A4" t="s">
        <v>2</v>
      </c>
      <c r="B4" s="2">
        <v>2</v>
      </c>
      <c r="C4" s="5">
        <v>23.99</v>
      </c>
      <c r="D4" s="5">
        <f t="shared" ref="D4:D7" si="0">B4*C4</f>
        <v>47.98</v>
      </c>
      <c r="E4" s="5">
        <f t="shared" ref="E4:E7" si="1">D4*$O$3</f>
        <v>45.101199999999992</v>
      </c>
      <c r="F4" s="5">
        <v>6.21</v>
      </c>
      <c r="G4" s="5">
        <f t="shared" ref="G4:G7" si="2">D4*$O$5</f>
        <v>51.3386</v>
      </c>
      <c r="H4" s="9"/>
      <c r="I4" s="8">
        <v>22.5</v>
      </c>
      <c r="J4" s="8">
        <f t="shared" ref="J4:J7" si="3">$B4*I4</f>
        <v>45</v>
      </c>
      <c r="K4" s="10">
        <f t="shared" ref="K4:K7" si="4">I4/C4-1</f>
        <v>-6.2109212171738148E-2</v>
      </c>
      <c r="L4" s="8"/>
      <c r="N4">
        <v>6</v>
      </c>
    </row>
    <row r="5" spans="1:15" x14ac:dyDescent="0.25">
      <c r="A5" t="s">
        <v>3</v>
      </c>
      <c r="B5" s="2">
        <v>6</v>
      </c>
      <c r="C5" s="5">
        <v>1.7</v>
      </c>
      <c r="D5" s="5">
        <f t="shared" si="0"/>
        <v>10.199999999999999</v>
      </c>
      <c r="E5" s="5">
        <f t="shared" si="1"/>
        <v>9.5879999999999992</v>
      </c>
      <c r="F5" s="5">
        <v>6.21</v>
      </c>
      <c r="G5" s="5">
        <f t="shared" si="2"/>
        <v>10.914</v>
      </c>
      <c r="H5" s="9"/>
      <c r="I5" s="8">
        <v>1.95</v>
      </c>
      <c r="J5" s="8">
        <f t="shared" si="3"/>
        <v>11.7</v>
      </c>
      <c r="K5" s="10">
        <f t="shared" si="4"/>
        <v>0.14705882352941169</v>
      </c>
      <c r="L5" s="8"/>
      <c r="N5" t="s">
        <v>15</v>
      </c>
      <c r="O5">
        <f>1+N6/100</f>
        <v>1.07</v>
      </c>
    </row>
    <row r="6" spans="1:15" x14ac:dyDescent="0.25">
      <c r="A6" t="s">
        <v>4</v>
      </c>
      <c r="B6" s="2">
        <v>1</v>
      </c>
      <c r="C6" s="5">
        <v>6.5</v>
      </c>
      <c r="D6" s="5">
        <f t="shared" si="0"/>
        <v>6.5</v>
      </c>
      <c r="E6" s="5">
        <f t="shared" si="1"/>
        <v>6.1099999999999994</v>
      </c>
      <c r="F6" s="5">
        <v>6.21</v>
      </c>
      <c r="G6" s="5">
        <f t="shared" si="2"/>
        <v>6.9550000000000001</v>
      </c>
      <c r="H6" s="9"/>
      <c r="I6" s="8">
        <v>6.66</v>
      </c>
      <c r="J6" s="8">
        <f t="shared" si="3"/>
        <v>6.66</v>
      </c>
      <c r="K6" s="10">
        <f t="shared" si="4"/>
        <v>2.4615384615384706E-2</v>
      </c>
      <c r="L6" s="8"/>
      <c r="N6">
        <v>7</v>
      </c>
    </row>
    <row r="7" spans="1:15" x14ac:dyDescent="0.25">
      <c r="A7" t="s">
        <v>5</v>
      </c>
      <c r="B7" s="2">
        <v>2</v>
      </c>
      <c r="C7" s="5">
        <v>65</v>
      </c>
      <c r="D7" s="5">
        <f t="shared" si="0"/>
        <v>130</v>
      </c>
      <c r="E7" s="5">
        <f t="shared" si="1"/>
        <v>122.19999999999999</v>
      </c>
      <c r="F7" s="5">
        <v>6.21</v>
      </c>
      <c r="G7" s="5">
        <f t="shared" si="2"/>
        <v>139.1</v>
      </c>
      <c r="H7" s="9"/>
      <c r="I7" s="8">
        <v>68.5</v>
      </c>
      <c r="J7" s="8">
        <f t="shared" si="3"/>
        <v>137</v>
      </c>
      <c r="K7" s="10">
        <f t="shared" si="4"/>
        <v>5.3846153846153877E-2</v>
      </c>
      <c r="L7" s="8"/>
    </row>
    <row r="8" spans="1:15" x14ac:dyDescent="0.25">
      <c r="D8" s="5">
        <f>SUM(D3:D7)</f>
        <v>338.28</v>
      </c>
      <c r="E8" s="5"/>
      <c r="F8" s="5"/>
      <c r="I8" s="8"/>
      <c r="J8" s="8">
        <f>SUM(J3:J7)</f>
        <v>329.15999999999997</v>
      </c>
      <c r="K8" s="10"/>
      <c r="L8" s="8"/>
    </row>
    <row r="9" spans="1:15" x14ac:dyDescent="0.25">
      <c r="E9" s="1"/>
    </row>
  </sheetData>
  <mergeCells count="1">
    <mergeCell ref="C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SENAI</dc:creator>
  <cp:lastModifiedBy>Aluno SENAI</cp:lastModifiedBy>
  <dcterms:created xsi:type="dcterms:W3CDTF">2026-04-13T17:51:07Z</dcterms:created>
  <dcterms:modified xsi:type="dcterms:W3CDTF">2026-04-13T19:54:35Z</dcterms:modified>
</cp:coreProperties>
</file>